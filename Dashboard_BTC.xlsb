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07/relationships/slicerCache" Target="slicerCaches/slicerCache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dinámicas!Evol.volatilidad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14260717410323E-2"/>
          <c:y val="2.7777777777777776E-2"/>
          <c:w val="0.89789260717410324"/>
          <c:h val="0.90660358631641635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dinámicas'!$B$25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dinámicas'!$B$26:$B$42</c:f>
              <c:numCache>
                <c:formatCode>General</c:formatCode>
                <c:ptCount val="16"/>
                <c:pt idx="0">
                  <c:v>40.06</c:v>
                </c:pt>
                <c:pt idx="1">
                  <c:v>38.94</c:v>
                </c:pt>
                <c:pt idx="2">
                  <c:v>19.97</c:v>
                </c:pt>
                <c:pt idx="3">
                  <c:v>47.2</c:v>
                </c:pt>
                <c:pt idx="4">
                  <c:v>18.7</c:v>
                </c:pt>
                <c:pt idx="5">
                  <c:v>18.62</c:v>
                </c:pt>
                <c:pt idx="6">
                  <c:v>10.66</c:v>
                </c:pt>
                <c:pt idx="7">
                  <c:v>25.47</c:v>
                </c:pt>
                <c:pt idx="8">
                  <c:v>13.43</c:v>
                </c:pt>
                <c:pt idx="9">
                  <c:v>17.39</c:v>
                </c:pt>
                <c:pt idx="10">
                  <c:v>18.03</c:v>
                </c:pt>
                <c:pt idx="11">
                  <c:v>18.8</c:v>
                </c:pt>
                <c:pt idx="12">
                  <c:v>14.55</c:v>
                </c:pt>
                <c:pt idx="13">
                  <c:v>9.77</c:v>
                </c:pt>
                <c:pt idx="14">
                  <c:v>12.14</c:v>
                </c:pt>
                <c:pt idx="15">
                  <c:v>8.26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154-4C92-80A4-8BC0EA79E340}"/>
            </c:ext>
          </c:extLst>
        </c:ser>
        <c:ser>
          <c:idx val="1"/>
          <c:order val="1"/>
          <c:tx>
            <c:strRef>
              <c:f>'Tablás dinámicas'!$C$25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dinámicas'!$C$26:$C$42</c:f>
              <c:numCache>
                <c:formatCode>General</c:formatCode>
                <c:ptCount val="16"/>
                <c:pt idx="0">
                  <c:v>1.9</c:v>
                </c:pt>
                <c:pt idx="1">
                  <c:v>4.67</c:v>
                </c:pt>
                <c:pt idx="2">
                  <c:v>2.41</c:v>
                </c:pt>
                <c:pt idx="3">
                  <c:v>2.54</c:v>
                </c:pt>
                <c:pt idx="4">
                  <c:v>2.09</c:v>
                </c:pt>
                <c:pt idx="5">
                  <c:v>3.62</c:v>
                </c:pt>
                <c:pt idx="6">
                  <c:v>2.44</c:v>
                </c:pt>
                <c:pt idx="7">
                  <c:v>0.81</c:v>
                </c:pt>
                <c:pt idx="8">
                  <c:v>4.43</c:v>
                </c:pt>
                <c:pt idx="9">
                  <c:v>2.33</c:v>
                </c:pt>
                <c:pt idx="10">
                  <c:v>5.49</c:v>
                </c:pt>
                <c:pt idx="11">
                  <c:v>1.61</c:v>
                </c:pt>
                <c:pt idx="12">
                  <c:v>4.25</c:v>
                </c:pt>
                <c:pt idx="13">
                  <c:v>2.1</c:v>
                </c:pt>
                <c:pt idx="14">
                  <c:v>1.52</c:v>
                </c:pt>
                <c:pt idx="15">
                  <c:v>9.9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154-4C92-80A4-8BC0EA79E340}"/>
            </c:ext>
          </c:extLst>
        </c:ser>
        <c:ser>
          <c:idx val="2"/>
          <c:order val="2"/>
          <c:tx>
            <c:strRef>
              <c:f>'Tablás dinámicas'!$D$25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dinámicas'!$D$26:$D$42</c:f>
              <c:numCache>
                <c:formatCode>General</c:formatCode>
                <c:ptCount val="16"/>
                <c:pt idx="0">
                  <c:v>3.4</c:v>
                </c:pt>
                <c:pt idx="1">
                  <c:v>3.72</c:v>
                </c:pt>
                <c:pt idx="2">
                  <c:v>3.7</c:v>
                </c:pt>
                <c:pt idx="3">
                  <c:v>4.72</c:v>
                </c:pt>
                <c:pt idx="4">
                  <c:v>3.62</c:v>
                </c:pt>
                <c:pt idx="5">
                  <c:v>2.4500000000000002</c:v>
                </c:pt>
                <c:pt idx="6">
                  <c:v>4.6900000000000004</c:v>
                </c:pt>
                <c:pt idx="7">
                  <c:v>2.2000000000000002</c:v>
                </c:pt>
                <c:pt idx="8">
                  <c:v>2.88</c:v>
                </c:pt>
                <c:pt idx="9">
                  <c:v>3.59</c:v>
                </c:pt>
                <c:pt idx="10">
                  <c:v>5.95</c:v>
                </c:pt>
                <c:pt idx="11">
                  <c:v>2.72</c:v>
                </c:pt>
                <c:pt idx="12">
                  <c:v>3.14</c:v>
                </c:pt>
                <c:pt idx="13">
                  <c:v>3.09</c:v>
                </c:pt>
                <c:pt idx="14">
                  <c:v>2</c:v>
                </c:pt>
                <c:pt idx="15">
                  <c:v>3.27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154-4C92-80A4-8BC0EA79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07"/>
        <c:axId val="45701567"/>
      </c:lineChart>
      <c:catAx>
        <c:axId val="45703007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5701567"/>
        <c:crosses val="autoZero"/>
        <c:auto val="1"/>
        <c:lblAlgn val="ctr"/>
        <c:lblOffset val="100"/>
        <c:noMultiLvlLbl val="0"/>
      </c:catAx>
      <c:valAx>
        <c:axId val="457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dinámicas!Evol.volumen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'Tablás dinámicas'!$B$45</c:f>
              <c:strCache>
                <c:ptCount val="1"/>
                <c:pt idx="0">
                  <c:v>Máx. de volume_btc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dinámicas'!$B$46:$B$62</c:f>
              <c:numCache>
                <c:formatCode>General</c:formatCode>
                <c:ptCount val="16"/>
                <c:pt idx="0">
                  <c:v>118305</c:v>
                </c:pt>
                <c:pt idx="1">
                  <c:v>382085</c:v>
                </c:pt>
                <c:pt idx="2">
                  <c:v>297949</c:v>
                </c:pt>
                <c:pt idx="3">
                  <c:v>46862700</c:v>
                </c:pt>
                <c:pt idx="4">
                  <c:v>126314000</c:v>
                </c:pt>
                <c:pt idx="5">
                  <c:v>263900000</c:v>
                </c:pt>
                <c:pt idx="6">
                  <c:v>363320992</c:v>
                </c:pt>
                <c:pt idx="7">
                  <c:v>22197999616</c:v>
                </c:pt>
                <c:pt idx="8">
                  <c:v>23840899072</c:v>
                </c:pt>
                <c:pt idx="9">
                  <c:v>45105733173</c:v>
                </c:pt>
                <c:pt idx="10">
                  <c:v>74156772074</c:v>
                </c:pt>
                <c:pt idx="11">
                  <c:v>350967941479</c:v>
                </c:pt>
                <c:pt idx="12">
                  <c:v>118992465606</c:v>
                </c:pt>
                <c:pt idx="13">
                  <c:v>54622230163</c:v>
                </c:pt>
                <c:pt idx="14">
                  <c:v>149218945579</c:v>
                </c:pt>
                <c:pt idx="15">
                  <c:v>181746419401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E-42DF-9D0F-29953FF9784A}"/>
            </c:ext>
          </c:extLst>
        </c:ser>
        <c:ser>
          <c:idx val="1"/>
          <c:order val="1"/>
          <c:tx>
            <c:strRef>
              <c:f>'Tablás dinámicas'!$C$45</c:f>
              <c:strCache>
                <c:ptCount val="1"/>
                <c:pt idx="0">
                  <c:v>Máx. de volume_sp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dinámicas'!$C$46:$C$62</c:f>
              <c:numCache>
                <c:formatCode>General</c:formatCode>
                <c:ptCount val="16"/>
                <c:pt idx="0">
                  <c:v>6970630000</c:v>
                </c:pt>
                <c:pt idx="1">
                  <c:v>6703140000</c:v>
                </c:pt>
                <c:pt idx="2">
                  <c:v>5271490000</c:v>
                </c:pt>
                <c:pt idx="3">
                  <c:v>5797280000</c:v>
                </c:pt>
                <c:pt idx="4">
                  <c:v>6465530000</c:v>
                </c:pt>
                <c:pt idx="5">
                  <c:v>6683070000</c:v>
                </c:pt>
                <c:pt idx="6">
                  <c:v>7597450000</c:v>
                </c:pt>
                <c:pt idx="7">
                  <c:v>5736910000</c:v>
                </c:pt>
                <c:pt idx="8">
                  <c:v>7657890000</c:v>
                </c:pt>
                <c:pt idx="9">
                  <c:v>6457480000</c:v>
                </c:pt>
                <c:pt idx="10">
                  <c:v>9053950000</c:v>
                </c:pt>
                <c:pt idx="11">
                  <c:v>9976520000</c:v>
                </c:pt>
                <c:pt idx="12">
                  <c:v>8520740000</c:v>
                </c:pt>
                <c:pt idx="13">
                  <c:v>9354280000</c:v>
                </c:pt>
                <c:pt idx="14">
                  <c:v>8223220000</c:v>
                </c:pt>
                <c:pt idx="15">
                  <c:v>9489600000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2E-42DF-9D0F-29953FF9784A}"/>
            </c:ext>
          </c:extLst>
        </c:ser>
        <c:ser>
          <c:idx val="2"/>
          <c:order val="2"/>
          <c:tx>
            <c:strRef>
              <c:f>'Tablás dinámicas'!$D$45</c:f>
              <c:strCache>
                <c:ptCount val="1"/>
                <c:pt idx="0">
                  <c:v>Máx. de volume_gd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dinámicas'!$D$46:$D$62</c:f>
              <c:numCache>
                <c:formatCode>General</c:formatCode>
                <c:ptCount val="16"/>
                <c:pt idx="0">
                  <c:v>31022000</c:v>
                </c:pt>
                <c:pt idx="1">
                  <c:v>44083000</c:v>
                </c:pt>
                <c:pt idx="2">
                  <c:v>34349000</c:v>
                </c:pt>
                <c:pt idx="3">
                  <c:v>70034000</c:v>
                </c:pt>
                <c:pt idx="4">
                  <c:v>34231000</c:v>
                </c:pt>
                <c:pt idx="5">
                  <c:v>28879000</c:v>
                </c:pt>
                <c:pt idx="6">
                  <c:v>81653000</c:v>
                </c:pt>
                <c:pt idx="7">
                  <c:v>55799000</c:v>
                </c:pt>
                <c:pt idx="8">
                  <c:v>53766000</c:v>
                </c:pt>
                <c:pt idx="9">
                  <c:v>67498000</c:v>
                </c:pt>
                <c:pt idx="10">
                  <c:v>81341000</c:v>
                </c:pt>
                <c:pt idx="11">
                  <c:v>44351000</c:v>
                </c:pt>
                <c:pt idx="12">
                  <c:v>44765000</c:v>
                </c:pt>
                <c:pt idx="13">
                  <c:v>45233000</c:v>
                </c:pt>
                <c:pt idx="14">
                  <c:v>39175000</c:v>
                </c:pt>
                <c:pt idx="15">
                  <c:v>42308000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2E-42DF-9D0F-29953FF9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091391"/>
        <c:axId val="510088991"/>
      </c:barChart>
      <c:catAx>
        <c:axId val="510091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0088991"/>
        <c:crosses val="autoZero"/>
        <c:auto val="1"/>
        <c:lblAlgn val="ctr"/>
        <c:lblOffset val="100"/>
        <c:noMultiLvlLbl val="0"/>
      </c:catAx>
      <c:valAx>
        <c:axId val="51008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009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dinámicas!Evol.cotización</c:name>
    <c:fmtId val="15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'Tablás dinámicas'!$B$4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softEdge rad="0"/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dinámicas'!$B$5:$B$21</c:f>
              <c:numCache>
                <c:formatCode>General</c:formatCode>
                <c:ptCount val="16"/>
                <c:pt idx="0">
                  <c:v>0.43979451000000003</c:v>
                </c:pt>
                <c:pt idx="1">
                  <c:v>30.063087660000001</c:v>
                </c:pt>
                <c:pt idx="2">
                  <c:v>13.7881444</c:v>
                </c:pt>
                <c:pt idx="3">
                  <c:v>1151.1700439453</c:v>
                </c:pt>
                <c:pt idx="4">
                  <c:v>953.28997802729998</c:v>
                </c:pt>
                <c:pt idx="5">
                  <c:v>465.3210144043</c:v>
                </c:pt>
                <c:pt idx="6">
                  <c:v>975.92102050779999</c:v>
                </c:pt>
                <c:pt idx="7">
                  <c:v>19114.19921875</c:v>
                </c:pt>
                <c:pt idx="8">
                  <c:v>17429.5</c:v>
                </c:pt>
                <c:pt idx="9">
                  <c:v>13016.2317442</c:v>
                </c:pt>
                <c:pt idx="10">
                  <c:v>29001.719822179999</c:v>
                </c:pt>
                <c:pt idx="11">
                  <c:v>67566.830087877504</c:v>
                </c:pt>
                <c:pt idx="12">
                  <c:v>47465.729887711299</c:v>
                </c:pt>
                <c:pt idx="13">
                  <c:v>44166.600638182303</c:v>
                </c:pt>
                <c:pt idx="14">
                  <c:v>106140.5982384302</c:v>
                </c:pt>
                <c:pt idx="15">
                  <c:v>123344.05980564871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934-4074-A29E-FB90142E2F6A}"/>
            </c:ext>
          </c:extLst>
        </c:ser>
        <c:ser>
          <c:idx val="1"/>
          <c:order val="1"/>
          <c:tx>
            <c:strRef>
              <c:f>'Tablás dinámicas'!$C$4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dinámicas'!$C$5:$C$21</c:f>
              <c:numCache>
                <c:formatCode>General</c:formatCode>
                <c:ptCount val="16"/>
                <c:pt idx="0">
                  <c:v>1259.78</c:v>
                </c:pt>
                <c:pt idx="1">
                  <c:v>1363.61</c:v>
                </c:pt>
                <c:pt idx="2">
                  <c:v>1465.77</c:v>
                </c:pt>
                <c:pt idx="3">
                  <c:v>1848.36</c:v>
                </c:pt>
                <c:pt idx="4">
                  <c:v>2090.5700000000002</c:v>
                </c:pt>
                <c:pt idx="5">
                  <c:v>2130.8200000000002</c:v>
                </c:pt>
                <c:pt idx="6">
                  <c:v>2271.7199999999998</c:v>
                </c:pt>
                <c:pt idx="7">
                  <c:v>2690.16</c:v>
                </c:pt>
                <c:pt idx="8">
                  <c:v>2930.75</c:v>
                </c:pt>
                <c:pt idx="9">
                  <c:v>3240.02</c:v>
                </c:pt>
                <c:pt idx="10">
                  <c:v>3756.07</c:v>
                </c:pt>
                <c:pt idx="11">
                  <c:v>4793.0600000000004</c:v>
                </c:pt>
                <c:pt idx="12">
                  <c:v>4796.5600000000004</c:v>
                </c:pt>
                <c:pt idx="13">
                  <c:v>4783.3500000000004</c:v>
                </c:pt>
                <c:pt idx="14">
                  <c:v>6090.27</c:v>
                </c:pt>
                <c:pt idx="15">
                  <c:v>6587.47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934-4074-A29E-FB90142E2F6A}"/>
            </c:ext>
          </c:extLst>
        </c:ser>
        <c:ser>
          <c:idx val="2"/>
          <c:order val="2"/>
          <c:tx>
            <c:strRef>
              <c:f>'Tablás dinámicas'!$D$4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dinámicas'!$D$5:$D$21</c:f>
              <c:numCache>
                <c:formatCode>General</c:formatCode>
                <c:ptCount val="16"/>
                <c:pt idx="0">
                  <c:v>1421.4</c:v>
                </c:pt>
                <c:pt idx="1">
                  <c:v>1891.9</c:v>
                </c:pt>
                <c:pt idx="2">
                  <c:v>1796.5</c:v>
                </c:pt>
                <c:pt idx="3">
                  <c:v>1690.8</c:v>
                </c:pt>
                <c:pt idx="4">
                  <c:v>1379</c:v>
                </c:pt>
                <c:pt idx="5">
                  <c:v>1300.7</c:v>
                </c:pt>
                <c:pt idx="6">
                  <c:v>1372.6</c:v>
                </c:pt>
                <c:pt idx="7">
                  <c:v>1351.2</c:v>
                </c:pt>
                <c:pt idx="8">
                  <c:v>1362.9</c:v>
                </c:pt>
                <c:pt idx="9">
                  <c:v>1554</c:v>
                </c:pt>
                <c:pt idx="10">
                  <c:v>2054.6</c:v>
                </c:pt>
                <c:pt idx="11">
                  <c:v>1954.4</c:v>
                </c:pt>
                <c:pt idx="12">
                  <c:v>2043.3</c:v>
                </c:pt>
                <c:pt idx="13">
                  <c:v>2083.5</c:v>
                </c:pt>
                <c:pt idx="14">
                  <c:v>2800.8</c:v>
                </c:pt>
                <c:pt idx="15">
                  <c:v>3682.2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934-4074-A29E-FB90142E2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528208"/>
        <c:axId val="1817528688"/>
      </c:lineChart>
      <c:catAx>
        <c:axId val="181752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7528688"/>
        <c:crosses val="autoZero"/>
        <c:auto val="1"/>
        <c:lblAlgn val="ctr"/>
        <c:lblOffset val="100"/>
        <c:noMultiLvlLbl val="0"/>
      </c:catAx>
      <c:valAx>
        <c:axId val="181752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7528208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dinámicas!Evol.volatilidad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14202814174395E-2"/>
          <c:y val="2.7777666455964835E-2"/>
          <c:w val="0.89789260717410324"/>
          <c:h val="0.90660358631641635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dinámicas'!$B$25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dinámicas'!$B$26:$B$42</c:f>
              <c:numCache>
                <c:formatCode>General</c:formatCode>
                <c:ptCount val="16"/>
                <c:pt idx="0">
                  <c:v>40.06</c:v>
                </c:pt>
                <c:pt idx="1">
                  <c:v>38.94</c:v>
                </c:pt>
                <c:pt idx="2">
                  <c:v>19.97</c:v>
                </c:pt>
                <c:pt idx="3">
                  <c:v>47.2</c:v>
                </c:pt>
                <c:pt idx="4">
                  <c:v>18.7</c:v>
                </c:pt>
                <c:pt idx="5">
                  <c:v>18.62</c:v>
                </c:pt>
                <c:pt idx="6">
                  <c:v>10.66</c:v>
                </c:pt>
                <c:pt idx="7">
                  <c:v>25.47</c:v>
                </c:pt>
                <c:pt idx="8">
                  <c:v>13.43</c:v>
                </c:pt>
                <c:pt idx="9">
                  <c:v>17.39</c:v>
                </c:pt>
                <c:pt idx="10">
                  <c:v>18.03</c:v>
                </c:pt>
                <c:pt idx="11">
                  <c:v>18.8</c:v>
                </c:pt>
                <c:pt idx="12">
                  <c:v>14.55</c:v>
                </c:pt>
                <c:pt idx="13">
                  <c:v>9.77</c:v>
                </c:pt>
                <c:pt idx="14">
                  <c:v>12.14</c:v>
                </c:pt>
                <c:pt idx="15">
                  <c:v>8.26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B8-4BAC-9A92-358E9333CDED}"/>
            </c:ext>
          </c:extLst>
        </c:ser>
        <c:ser>
          <c:idx val="1"/>
          <c:order val="1"/>
          <c:tx>
            <c:strRef>
              <c:f>'Tablás dinámicas'!$C$25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dinámicas'!$C$26:$C$42</c:f>
              <c:numCache>
                <c:formatCode>General</c:formatCode>
                <c:ptCount val="16"/>
                <c:pt idx="0">
                  <c:v>1.9</c:v>
                </c:pt>
                <c:pt idx="1">
                  <c:v>4.67</c:v>
                </c:pt>
                <c:pt idx="2">
                  <c:v>2.41</c:v>
                </c:pt>
                <c:pt idx="3">
                  <c:v>2.54</c:v>
                </c:pt>
                <c:pt idx="4">
                  <c:v>2.09</c:v>
                </c:pt>
                <c:pt idx="5">
                  <c:v>3.62</c:v>
                </c:pt>
                <c:pt idx="6">
                  <c:v>2.44</c:v>
                </c:pt>
                <c:pt idx="7">
                  <c:v>0.81</c:v>
                </c:pt>
                <c:pt idx="8">
                  <c:v>4.43</c:v>
                </c:pt>
                <c:pt idx="9">
                  <c:v>2.33</c:v>
                </c:pt>
                <c:pt idx="10">
                  <c:v>5.49</c:v>
                </c:pt>
                <c:pt idx="11">
                  <c:v>1.61</c:v>
                </c:pt>
                <c:pt idx="12">
                  <c:v>4.25</c:v>
                </c:pt>
                <c:pt idx="13">
                  <c:v>2.1</c:v>
                </c:pt>
                <c:pt idx="14">
                  <c:v>1.52</c:v>
                </c:pt>
                <c:pt idx="15">
                  <c:v>9.9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4B8-4BAC-9A92-358E9333CDED}"/>
            </c:ext>
          </c:extLst>
        </c:ser>
        <c:ser>
          <c:idx val="2"/>
          <c:order val="2"/>
          <c:tx>
            <c:strRef>
              <c:f>'Tablás dinámicas'!$D$25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dinámicas'!$D$26:$D$42</c:f>
              <c:numCache>
                <c:formatCode>General</c:formatCode>
                <c:ptCount val="16"/>
                <c:pt idx="0">
                  <c:v>3.4</c:v>
                </c:pt>
                <c:pt idx="1">
                  <c:v>3.72</c:v>
                </c:pt>
                <c:pt idx="2">
                  <c:v>3.7</c:v>
                </c:pt>
                <c:pt idx="3">
                  <c:v>4.72</c:v>
                </c:pt>
                <c:pt idx="4">
                  <c:v>3.62</c:v>
                </c:pt>
                <c:pt idx="5">
                  <c:v>2.4500000000000002</c:v>
                </c:pt>
                <c:pt idx="6">
                  <c:v>4.6900000000000004</c:v>
                </c:pt>
                <c:pt idx="7">
                  <c:v>2.2000000000000002</c:v>
                </c:pt>
                <c:pt idx="8">
                  <c:v>2.88</c:v>
                </c:pt>
                <c:pt idx="9">
                  <c:v>3.59</c:v>
                </c:pt>
                <c:pt idx="10">
                  <c:v>5.95</c:v>
                </c:pt>
                <c:pt idx="11">
                  <c:v>2.72</c:v>
                </c:pt>
                <c:pt idx="12">
                  <c:v>3.14</c:v>
                </c:pt>
                <c:pt idx="13">
                  <c:v>3.09</c:v>
                </c:pt>
                <c:pt idx="14">
                  <c:v>2</c:v>
                </c:pt>
                <c:pt idx="15">
                  <c:v>3.27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4B8-4BAC-9A92-358E9333C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07"/>
        <c:axId val="45701567"/>
      </c:lineChart>
      <c:catAx>
        <c:axId val="45703007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5701567"/>
        <c:crosses val="autoZero"/>
        <c:auto val="1"/>
        <c:lblAlgn val="ctr"/>
        <c:lblOffset val="100"/>
        <c:noMultiLvlLbl val="0"/>
      </c:catAx>
      <c:valAx>
        <c:axId val="457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dinámicas!Evol.cotización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>
            <a:softEdge rad="0"/>
          </a:effectLst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>
              <a:softEdge rad="0"/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13648293963255"/>
          <c:y val="5.0925925925925923E-2"/>
          <c:w val="0.84276399825021875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dinámicas'!$B$4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softEdge rad="0"/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dinámicas'!$B$5:$B$21</c:f>
              <c:numCache>
                <c:formatCode>General</c:formatCode>
                <c:ptCount val="16"/>
                <c:pt idx="0">
                  <c:v>0.43979451000000003</c:v>
                </c:pt>
                <c:pt idx="1">
                  <c:v>30.063087660000001</c:v>
                </c:pt>
                <c:pt idx="2">
                  <c:v>13.7881444</c:v>
                </c:pt>
                <c:pt idx="3">
                  <c:v>1151.1700439453</c:v>
                </c:pt>
                <c:pt idx="4">
                  <c:v>953.28997802729998</c:v>
                </c:pt>
                <c:pt idx="5">
                  <c:v>465.3210144043</c:v>
                </c:pt>
                <c:pt idx="6">
                  <c:v>975.92102050779999</c:v>
                </c:pt>
                <c:pt idx="7">
                  <c:v>19114.19921875</c:v>
                </c:pt>
                <c:pt idx="8">
                  <c:v>17429.5</c:v>
                </c:pt>
                <c:pt idx="9">
                  <c:v>13016.2317442</c:v>
                </c:pt>
                <c:pt idx="10">
                  <c:v>29001.719822179999</c:v>
                </c:pt>
                <c:pt idx="11">
                  <c:v>67566.830087877504</c:v>
                </c:pt>
                <c:pt idx="12">
                  <c:v>47465.729887711299</c:v>
                </c:pt>
                <c:pt idx="13">
                  <c:v>44166.600638182303</c:v>
                </c:pt>
                <c:pt idx="14">
                  <c:v>106140.5982384302</c:v>
                </c:pt>
                <c:pt idx="15">
                  <c:v>123344.05980564871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506-4082-95A9-BCCB9BDA5C1F}"/>
            </c:ext>
          </c:extLst>
        </c:ser>
        <c:ser>
          <c:idx val="1"/>
          <c:order val="1"/>
          <c:tx>
            <c:strRef>
              <c:f>'Tablás dinámicas'!$C$4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dinámicas'!$C$5:$C$21</c:f>
              <c:numCache>
                <c:formatCode>General</c:formatCode>
                <c:ptCount val="16"/>
                <c:pt idx="0">
                  <c:v>1259.78</c:v>
                </c:pt>
                <c:pt idx="1">
                  <c:v>1363.61</c:v>
                </c:pt>
                <c:pt idx="2">
                  <c:v>1465.77</c:v>
                </c:pt>
                <c:pt idx="3">
                  <c:v>1848.36</c:v>
                </c:pt>
                <c:pt idx="4">
                  <c:v>2090.5700000000002</c:v>
                </c:pt>
                <c:pt idx="5">
                  <c:v>2130.8200000000002</c:v>
                </c:pt>
                <c:pt idx="6">
                  <c:v>2271.7199999999998</c:v>
                </c:pt>
                <c:pt idx="7">
                  <c:v>2690.16</c:v>
                </c:pt>
                <c:pt idx="8">
                  <c:v>2930.75</c:v>
                </c:pt>
                <c:pt idx="9">
                  <c:v>3240.02</c:v>
                </c:pt>
                <c:pt idx="10">
                  <c:v>3756.07</c:v>
                </c:pt>
                <c:pt idx="11">
                  <c:v>4793.0600000000004</c:v>
                </c:pt>
                <c:pt idx="12">
                  <c:v>4796.5600000000004</c:v>
                </c:pt>
                <c:pt idx="13">
                  <c:v>4783.3500000000004</c:v>
                </c:pt>
                <c:pt idx="14">
                  <c:v>6090.27</c:v>
                </c:pt>
                <c:pt idx="15">
                  <c:v>6587.47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06-4082-95A9-BCCB9BDA5C1F}"/>
            </c:ext>
          </c:extLst>
        </c:ser>
        <c:ser>
          <c:idx val="2"/>
          <c:order val="2"/>
          <c:tx>
            <c:strRef>
              <c:f>'Tablás dinámicas'!$D$4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dinámicas'!$A$5:$A$21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dinámicas'!$D$5:$D$21</c:f>
              <c:numCache>
                <c:formatCode>General</c:formatCode>
                <c:ptCount val="16"/>
                <c:pt idx="0">
                  <c:v>1421.4</c:v>
                </c:pt>
                <c:pt idx="1">
                  <c:v>1891.9</c:v>
                </c:pt>
                <c:pt idx="2">
                  <c:v>1796.5</c:v>
                </c:pt>
                <c:pt idx="3">
                  <c:v>1690.8</c:v>
                </c:pt>
                <c:pt idx="4">
                  <c:v>1379</c:v>
                </c:pt>
                <c:pt idx="5">
                  <c:v>1300.7</c:v>
                </c:pt>
                <c:pt idx="6">
                  <c:v>1372.6</c:v>
                </c:pt>
                <c:pt idx="7">
                  <c:v>1351.2</c:v>
                </c:pt>
                <c:pt idx="8">
                  <c:v>1362.9</c:v>
                </c:pt>
                <c:pt idx="9">
                  <c:v>1554</c:v>
                </c:pt>
                <c:pt idx="10">
                  <c:v>2054.6</c:v>
                </c:pt>
                <c:pt idx="11">
                  <c:v>1954.4</c:v>
                </c:pt>
                <c:pt idx="12">
                  <c:v>2043.3</c:v>
                </c:pt>
                <c:pt idx="13">
                  <c:v>2083.5</c:v>
                </c:pt>
                <c:pt idx="14">
                  <c:v>2800.8</c:v>
                </c:pt>
                <c:pt idx="15">
                  <c:v>3682.2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506-4082-95A9-BCCB9BDA5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528208"/>
        <c:axId val="1817528688"/>
      </c:lineChart>
      <c:catAx>
        <c:axId val="181752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7528688"/>
        <c:crosses val="autoZero"/>
        <c:auto val="1"/>
        <c:lblAlgn val="ctr"/>
        <c:lblOffset val="100"/>
        <c:noMultiLvlLbl val="0"/>
      </c:catAx>
      <c:valAx>
        <c:axId val="181752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7528208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411480</xdr:colOff>
      <xdr:row>24</xdr:row>
      <xdr:rowOff>15240</xdr:rowOff>
    </xdr:from>
    <xdr:to>
      <xdr:col>10</xdr:col>
      <xdr:colOff>784860</xdr:colOff>
      <xdr:row>38</xdr:row>
      <xdr:rowOff>175260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85D833-48C3-2FB2-9544-BB76B49B2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</xdr:colOff>
      <xdr:row>44</xdr:row>
      <xdr:rowOff>0</xdr:rowOff>
    </xdr:from>
    <xdr:to>
      <xdr:col>10</xdr:col>
      <xdr:colOff>784860</xdr:colOff>
      <xdr:row>59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D8703D-7CB0-1DF7-B14C-6B4D52155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7</xdr:row>
      <xdr:rowOff>0</xdr:rowOff>
    </xdr:from>
    <xdr:to>
      <xdr:col>10</xdr:col>
      <xdr:colOff>632460</xdr:colOff>
      <xdr:row>22</xdr:row>
      <xdr:rowOff>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B2C212F-4CDE-BF4F-9402-ED9ECD5FDB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7620</xdr:colOff>
      <xdr:row>11</xdr:row>
      <xdr:rowOff>167640</xdr:rowOff>
    </xdr:from>
    <xdr:to>
      <xdr:col>12</xdr:col>
      <xdr:colOff>640080</xdr:colOff>
      <xdr:row>23</xdr:row>
      <xdr:rowOff>83820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Meses">
              <a:extLst>
                <a:ext uri="{FF2B5EF4-FFF2-40B4-BE49-F238E27FC236}">
                  <a16:creationId xmlns:a16="http://schemas.microsoft.com/office/drawing/2014/main" id="{24104FFE-EF5E-E6A4-A461-3D5306832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4560" y="2179320"/>
              <a:ext cx="1424940" cy="2110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441960</xdr:colOff>
      <xdr:row>11</xdr:row>
      <xdr:rowOff>160021</xdr:rowOff>
    </xdr:from>
    <xdr:to>
      <xdr:col>15</xdr:col>
      <xdr:colOff>243840</xdr:colOff>
      <xdr:row>23</xdr:row>
      <xdr:rowOff>53340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Años (date)">
              <a:extLst>
                <a:ext uri="{FF2B5EF4-FFF2-40B4-BE49-F238E27FC236}">
                  <a16:creationId xmlns:a16="http://schemas.microsoft.com/office/drawing/2014/main" id="{1D3C9ACB-EE06-4753-8D5D-B20397968F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date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33860" y="2171701"/>
              <a:ext cx="1386840" cy="2087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0.01065</cdr:x>
      <cdr:y>0.01867</cdr:y>
    </cdr:from>
    <cdr:to>
      <cdr:x>0.2651</cdr:x>
      <cdr:y>0.5741</cdr:y>
    </cdr:to>
    <cdr:sp macro="" textlink="">
      <cdr:nvSpPr>
        <cdr:cNvPr id="3" name="CuadroTexto 23">
          <a:extLst xmlns:a="http://schemas.openxmlformats.org/drawingml/2006/main">
            <a:ext uri="{FF2B5EF4-FFF2-40B4-BE49-F238E27FC236}">
              <a16:creationId xmlns:a16="http://schemas.microsoft.com/office/drawing/2014/main" id="{32896D66-6CAE-4D5E-6DCD-5DD3D16B113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13757" cy="15109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76200"/>
        <a:effectLst xmlns:a="http://schemas.openxmlformats.org/drawingml/2006/main">
          <a:softEdge rad="1270000"/>
        </a:effectLst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r>
            <a:rPr lang="es-ES" sz="2400" b="1">
              <a:solidFill>
                <a:schemeClr val="bg1"/>
              </a:solidFill>
              <a:latin typeface="+mn-lt"/>
              <a:ea typeface="+mn-ea"/>
              <a:cs typeface="+mn-cs"/>
            </a:rPr>
            <a:t>BTC</a:t>
          </a:r>
        </a:p>
        <a:p xmlns:a="http://schemas.openxmlformats.org/drawingml/2006/main">
          <a:pPr marL="0" indent="0" algn="ctr"/>
          <a:endParaRPr lang="es-ES" sz="2400" b="1">
            <a:solidFill>
              <a:schemeClr val="bg1"/>
            </a:solidFill>
            <a:latin typeface="+mn-lt"/>
            <a:ea typeface="+mn-ea"/>
            <a:cs typeface="+mn-cs"/>
          </a:endParaRPr>
        </a:p>
        <a:p xmlns:a="http://schemas.openxmlformats.org/drawingml/2006/main">
          <a:pPr marL="0" indent="0" algn="ctr"/>
          <a:r>
            <a:rPr lang="es-ES" sz="2400" b="1">
              <a:solidFill>
                <a:schemeClr val="bg1"/>
              </a:solidFill>
              <a:latin typeface="+mn-lt"/>
              <a:ea typeface="+mn-ea"/>
              <a:cs typeface="+mn-cs"/>
            </a:rPr>
            <a:t>S&amp;P</a:t>
          </a:r>
        </a:p>
        <a:p xmlns:a="http://schemas.openxmlformats.org/drawingml/2006/main">
          <a:pPr marL="0" indent="0" algn="ctr"/>
          <a:endParaRPr lang="es-ES" sz="2400" b="1">
            <a:solidFill>
              <a:schemeClr val="bg1"/>
            </a:solidFill>
            <a:latin typeface="+mn-lt"/>
            <a:ea typeface="+mn-ea"/>
            <a:cs typeface="+mn-cs"/>
          </a:endParaRPr>
        </a:p>
        <a:p xmlns:a="http://schemas.openxmlformats.org/drawingml/2006/main">
          <a:pPr marL="0" indent="0" algn="ctr"/>
          <a:r>
            <a:rPr lang="es-ES" sz="2400" b="1">
              <a:solidFill>
                <a:schemeClr val="bg1"/>
              </a:solidFill>
              <a:latin typeface="+mn-lt"/>
              <a:ea typeface="+mn-ea"/>
              <a:cs typeface="+mn-cs"/>
            </a:rPr>
            <a:t>ORO</a:t>
          </a:r>
        </a:p>
        <a:p xmlns:a="http://schemas.openxmlformats.org/drawingml/2006/main">
          <a:pPr marL="0" indent="0" algn="ctr"/>
          <a:endParaRPr lang="es-ES" sz="1400" b="1">
            <a:solidFill>
              <a:schemeClr val="bg1"/>
            </a:solidFill>
            <a:latin typeface="+mn-lt"/>
            <a:ea typeface="+mn-ea"/>
            <a:cs typeface="+mn-cs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36569</xdr:colOff>
      <xdr:row>43</xdr:row>
      <xdr:rowOff>142847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58FC214-8022-4DB6-AC15-DD327FDCEB96}"/>
            </a:ext>
          </a:extLst>
        </xdr:cNvPr>
        <xdr:cNvSpPr/>
      </xdr:nvSpPr>
      <xdr:spPr>
        <a:xfrm>
          <a:off x="0" y="0"/>
          <a:ext cx="14266919" cy="7924772"/>
        </a:xfrm>
        <a:prstGeom prst="rect">
          <a:avLst/>
        </a:prstGeom>
        <a:solidFill>
          <a:srgbClr val="FF9D5B"/>
        </a:solidFill>
        <a:ln w="762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314629</xdr:colOff>
      <xdr:row>5</xdr:row>
      <xdr:rowOff>99420</xdr:rowOff>
    </xdr:from>
    <xdr:to>
      <xdr:col>7</xdr:col>
      <xdr:colOff>133350</xdr:colOff>
      <xdr:row>7</xdr:row>
      <xdr:rowOff>85726</xdr:rowOff>
    </xdr:to>
    <xdr:sp macro="" textlink="'Estadísticos Principales'!D12">
      <xdr:nvSpPr>
        <xdr:cNvPr id="5" name="Rectángulo 4">
          <a:extLst>
            <a:ext uri="{FF2B5EF4-FFF2-40B4-BE49-F238E27FC236}">
              <a16:creationId xmlns:a16="http://schemas.microsoft.com/office/drawing/2014/main" id="{E8BC287A-E68F-422F-B4C2-A4F7FF8966E5}"/>
            </a:ext>
          </a:extLst>
        </xdr:cNvPr>
        <xdr:cNvSpPr/>
      </xdr:nvSpPr>
      <xdr:spPr>
        <a:xfrm>
          <a:off x="4267504" y="1004295"/>
          <a:ext cx="1399871" cy="348256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19BFEC-FEE4-4EAB-8980-F9080CE5732E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6587.47</a:t>
          </a:fld>
          <a:endParaRPr lang="es-ES" sz="1800" b="0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318473</xdr:colOff>
      <xdr:row>8</xdr:row>
      <xdr:rowOff>79553</xdr:rowOff>
    </xdr:from>
    <xdr:to>
      <xdr:col>6</xdr:col>
      <xdr:colOff>409575</xdr:colOff>
      <xdr:row>10</xdr:row>
      <xdr:rowOff>95251</xdr:rowOff>
    </xdr:to>
    <xdr:sp macro="" textlink="'Estadísticos Principales'!D18">
      <xdr:nvSpPr>
        <xdr:cNvPr id="6" name="Rectángulo 5">
          <a:extLst>
            <a:ext uri="{FF2B5EF4-FFF2-40B4-BE49-F238E27FC236}">
              <a16:creationId xmlns:a16="http://schemas.microsoft.com/office/drawing/2014/main" id="{C4BEC858-61BA-49D8-AF3E-DE6D40FDA309}"/>
            </a:ext>
          </a:extLst>
        </xdr:cNvPr>
        <xdr:cNvSpPr/>
      </xdr:nvSpPr>
      <xdr:spPr>
        <a:xfrm>
          <a:off x="4271348" y="1527353"/>
          <a:ext cx="881677" cy="377648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51DACDE0-526D-4C19-8EE2-892635692BA3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3682.2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302347</xdr:colOff>
      <xdr:row>2</xdr:row>
      <xdr:rowOff>119013</xdr:rowOff>
    </xdr:from>
    <xdr:to>
      <xdr:col>8</xdr:col>
      <xdr:colOff>21772</xdr:colOff>
      <xdr:row>4</xdr:row>
      <xdr:rowOff>136072</xdr:rowOff>
    </xdr:to>
    <xdr:sp macro="" textlink="'Estadísticos Principales'!D6">
      <xdr:nvSpPr>
        <xdr:cNvPr id="7" name="Rectángulo 6">
          <a:extLst>
            <a:ext uri="{FF2B5EF4-FFF2-40B4-BE49-F238E27FC236}">
              <a16:creationId xmlns:a16="http://schemas.microsoft.com/office/drawing/2014/main" id="{52DBB6DC-C912-4DA5-9B55-762223A32119}"/>
            </a:ext>
          </a:extLst>
        </xdr:cNvPr>
        <xdr:cNvSpPr/>
      </xdr:nvSpPr>
      <xdr:spPr>
        <a:xfrm>
          <a:off x="4275633" y="489127"/>
          <a:ext cx="2103396" cy="387174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0E822C1D-2738-4BFA-932B-25454C8FB9AF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123,344.06</a:t>
          </a:fld>
          <a:endParaRPr lang="es-ES" sz="20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133441</xdr:colOff>
      <xdr:row>0</xdr:row>
      <xdr:rowOff>144536</xdr:rowOff>
    </xdr:from>
    <xdr:to>
      <xdr:col>3</xdr:col>
      <xdr:colOff>601980</xdr:colOff>
      <xdr:row>10</xdr:row>
      <xdr:rowOff>103265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6D68B2-6E15-467E-AE13-254544052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36" b="18036"/>
        <a:stretch/>
      </xdr:blipFill>
      <xdr:spPr bwMode="auto">
        <a:xfrm>
          <a:off x="133441" y="144536"/>
          <a:ext cx="2845979" cy="1787529"/>
        </a:xfrm>
        <a:prstGeom prst="roundRect">
          <a:avLst>
            <a:gd name="adj" fmla="val 4167"/>
          </a:avLst>
        </a:prstGeom>
        <a:solidFill>
          <a:schemeClr val="bg1">
            <a:lumMod val="95000"/>
            <a:alpha val="9000"/>
          </a:schemeClr>
        </a:solidFill>
        <a:ln>
          <a:solidFill>
            <a:schemeClr val="bg1"/>
          </a:solidFill>
        </a:ln>
        <a:effectLst>
          <a:glow rad="127000">
            <a:schemeClr val="accent1">
              <a:alpha val="37000"/>
            </a:schemeClr>
          </a:glow>
          <a:softEdge rad="0"/>
        </a:effectLst>
        <a:scene3d>
          <a:camera prst="orthographicFront"/>
          <a:lightRig rig="threePt" dir="t"/>
        </a:scene3d>
        <a:sp3d/>
      </xdr:spPr>
    </xdr:pic>
    <xdr:clientData/>
  </xdr:twoCellAnchor>
  <xdr:twoCellAnchor>
    <xdr:from>
      <xdr:col>0</xdr:col>
      <xdr:colOff>121920</xdr:colOff>
      <xdr:row>0</xdr:row>
      <xdr:rowOff>144780</xdr:rowOff>
    </xdr:from>
    <xdr:to>
      <xdr:col>3</xdr:col>
      <xdr:colOff>601980</xdr:colOff>
      <xdr:row>10</xdr:row>
      <xdr:rowOff>144779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25D1AAFB-9D47-4228-BCF5-C1210419CA41}"/>
            </a:ext>
          </a:extLst>
        </xdr:cNvPr>
        <xdr:cNvSpPr/>
      </xdr:nvSpPr>
      <xdr:spPr>
        <a:xfrm>
          <a:off x="121920" y="144780"/>
          <a:ext cx="2857500" cy="1828799"/>
        </a:xfrm>
        <a:prstGeom prst="rect">
          <a:avLst/>
        </a:prstGeom>
        <a:solidFill>
          <a:srgbClr val="FF6600">
            <a:alpha val="0"/>
          </a:srgbClr>
        </a:solidFill>
        <a:ln>
          <a:solidFill>
            <a:schemeClr val="accent1">
              <a:lumMod val="75000"/>
            </a:schemeClr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600" b="1">
              <a:latin typeface="Amasis MT Pro Black" panose="020F0502020204030204" pitchFamily="18" charset="0"/>
            </a:rPr>
            <a:t>BITCOIN</a:t>
          </a:r>
        </a:p>
        <a:p>
          <a:pPr algn="ctr"/>
          <a:r>
            <a:rPr lang="es-ES" sz="2000" b="1" baseline="0">
              <a:latin typeface="Amasis MT Pro Black" panose="020F0502020204030204" pitchFamily="18" charset="0"/>
            </a:rPr>
            <a:t> </a:t>
          </a:r>
          <a:r>
            <a:rPr lang="es-ES" sz="1600" b="1" baseline="0">
              <a:latin typeface="Amasis MT Pro Black" panose="020F0502020204030204" pitchFamily="18" charset="0"/>
            </a:rPr>
            <a:t>(riesgo o refugio)</a:t>
          </a:r>
          <a:endParaRPr lang="es-ES" sz="1600" b="1">
            <a:latin typeface="Amasis MT Pro Black" panose="020F0502020204030204" pitchFamily="18" charset="0"/>
          </a:endParaRPr>
        </a:p>
      </xdr:txBody>
    </xdr:sp>
    <xdr:clientData/>
  </xdr:twoCellAnchor>
  <xdr:twoCellAnchor>
    <xdr:from>
      <xdr:col>0</xdr:col>
      <xdr:colOff>169490</xdr:colOff>
      <xdr:row>11</xdr:row>
      <xdr:rowOff>159133</xdr:rowOff>
    </xdr:from>
    <xdr:to>
      <xdr:col>9</xdr:col>
      <xdr:colOff>631372</xdr:colOff>
      <xdr:row>42</xdr:row>
      <xdr:rowOff>65314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FD09062-7E7B-4C9C-B3EF-FAA7FAA334A6}"/>
            </a:ext>
          </a:extLst>
        </xdr:cNvPr>
        <xdr:cNvSpPr/>
      </xdr:nvSpPr>
      <xdr:spPr>
        <a:xfrm>
          <a:off x="169490" y="2149858"/>
          <a:ext cx="7577057" cy="5516406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s-E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749181</xdr:colOff>
      <xdr:row>11</xdr:row>
      <xdr:rowOff>167640</xdr:rowOff>
    </xdr:from>
    <xdr:to>
      <xdr:col>17</xdr:col>
      <xdr:colOff>740229</xdr:colOff>
      <xdr:row>42</xdr:row>
      <xdr:rowOff>97971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C7BD6856-4A20-F6FC-9B1E-9EC0223D9D2D}"/>
            </a:ext>
          </a:extLst>
        </xdr:cNvPr>
        <xdr:cNvGrpSpPr/>
      </xdr:nvGrpSpPr>
      <xdr:grpSpPr>
        <a:xfrm>
          <a:off x="7864356" y="2158365"/>
          <a:ext cx="6315648" cy="5540556"/>
          <a:chOff x="6480699" y="1859922"/>
          <a:chExt cx="4317180" cy="2364368"/>
        </a:xfrm>
      </xdr:grpSpPr>
      <xdr:sp macro="" textlink="">
        <xdr:nvSpPr>
          <xdr:cNvPr id="10" name="Rectángulo 9">
            <a:extLst>
              <a:ext uri="{FF2B5EF4-FFF2-40B4-BE49-F238E27FC236}">
                <a16:creationId xmlns:a16="http://schemas.microsoft.com/office/drawing/2014/main" id="{8CA34DA9-E8ED-4C54-858B-D170C7CDA159}"/>
              </a:ext>
            </a:extLst>
          </xdr:cNvPr>
          <xdr:cNvSpPr/>
        </xdr:nvSpPr>
        <xdr:spPr>
          <a:xfrm>
            <a:off x="6480699" y="1859922"/>
            <a:ext cx="4317180" cy="2364368"/>
          </a:xfrm>
          <a:prstGeom prst="rect">
            <a:avLst/>
          </a:prstGeom>
          <a:solidFill>
            <a:srgbClr val="FF6600"/>
          </a:solidFill>
          <a:ln>
            <a:solidFill>
              <a:srgbClr val="FF6600"/>
            </a:solidFill>
          </a:ln>
          <a:effectLst>
            <a:glow rad="127000">
              <a:schemeClr val="accent1"/>
            </a:glow>
            <a:softEdge rad="0"/>
          </a:effectLst>
          <a:scene3d>
            <a:camera prst="orthographicFront"/>
            <a:lightRig rig="threePt" dir="t"/>
          </a:scene3d>
          <a:sp3d/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s-ES" sz="11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788E89B-0AA5-436F-BCA0-D70C6B25B7F9}"/>
              </a:ext>
            </a:extLst>
          </xdr:cNvPr>
          <xdr:cNvGraphicFramePr>
            <a:graphicFrameLocks/>
          </xdr:cNvGraphicFramePr>
        </xdr:nvGraphicFramePr>
        <xdr:xfrm>
          <a:off x="6555963" y="2275934"/>
          <a:ext cx="4189112" cy="18882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577050</xdr:colOff>
      <xdr:row>12</xdr:row>
      <xdr:rowOff>73981</xdr:rowOff>
    </xdr:from>
    <xdr:to>
      <xdr:col>8</xdr:col>
      <xdr:colOff>651030</xdr:colOff>
      <xdr:row>15</xdr:row>
      <xdr:rowOff>147961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ABD2718-1461-46F7-69B5-468FE714C5E2}"/>
            </a:ext>
          </a:extLst>
        </xdr:cNvPr>
        <xdr:cNvSpPr txBox="1"/>
      </xdr:nvSpPr>
      <xdr:spPr>
        <a:xfrm>
          <a:off x="1368642" y="2293398"/>
          <a:ext cx="5615126" cy="628835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 b="0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Evolución cotización</a:t>
          </a:r>
        </a:p>
      </xdr:txBody>
    </xdr:sp>
    <xdr:clientData/>
  </xdr:twoCellAnchor>
  <xdr:twoCellAnchor>
    <xdr:from>
      <xdr:col>3</xdr:col>
      <xdr:colOff>615044</xdr:colOff>
      <xdr:row>5</xdr:row>
      <xdr:rowOff>20681</xdr:rowOff>
    </xdr:from>
    <xdr:to>
      <xdr:col>5</xdr:col>
      <xdr:colOff>239486</xdr:colOff>
      <xdr:row>7</xdr:row>
      <xdr:rowOff>119742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32896D66-6CAE-4D5E-6DCD-5DD3D16B113C}"/>
            </a:ext>
          </a:extLst>
        </xdr:cNvPr>
        <xdr:cNvSpPr txBox="1"/>
      </xdr:nvSpPr>
      <xdr:spPr>
        <a:xfrm>
          <a:off x="2999015" y="945967"/>
          <a:ext cx="1213757" cy="469175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S&amp;P</a:t>
          </a:r>
        </a:p>
        <a:p>
          <a:pPr marL="0" indent="0" algn="ctr"/>
          <a:endParaRPr lang="es-ES" sz="2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227511</xdr:colOff>
      <xdr:row>0</xdr:row>
      <xdr:rowOff>30480</xdr:rowOff>
    </xdr:from>
    <xdr:to>
      <xdr:col>8</xdr:col>
      <xdr:colOff>6531</xdr:colOff>
      <xdr:row>2</xdr:row>
      <xdr:rowOff>30480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86BE8211-1C8B-B157-2A75-A2A8611A47A5}"/>
            </a:ext>
          </a:extLst>
        </xdr:cNvPr>
        <xdr:cNvSpPr txBox="1"/>
      </xdr:nvSpPr>
      <xdr:spPr>
        <a:xfrm>
          <a:off x="4200797" y="30480"/>
          <a:ext cx="2162991" cy="370114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Máximo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precio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329565</xdr:colOff>
      <xdr:row>2</xdr:row>
      <xdr:rowOff>106408</xdr:rowOff>
    </xdr:from>
    <xdr:to>
      <xdr:col>11</xdr:col>
      <xdr:colOff>48990</xdr:colOff>
      <xdr:row>4</xdr:row>
      <xdr:rowOff>123467</xdr:rowOff>
    </xdr:to>
    <xdr:sp macro="" textlink="'Estadísticos Principales'!L6">
      <xdr:nvSpPr>
        <xdr:cNvPr id="26" name="Rectángulo 25">
          <a:extLst>
            <a:ext uri="{FF2B5EF4-FFF2-40B4-BE49-F238E27FC236}">
              <a16:creationId xmlns:a16="http://schemas.microsoft.com/office/drawing/2014/main" id="{062DECDB-4F19-41F7-91F5-197AD08523FF}"/>
            </a:ext>
          </a:extLst>
        </xdr:cNvPr>
        <xdr:cNvSpPr/>
      </xdr:nvSpPr>
      <xdr:spPr>
        <a:xfrm>
          <a:off x="6654165" y="468358"/>
          <a:ext cx="2091150" cy="37900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5D9ED11D-F159-4C2D-ADD6-B43016DDF8C4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0.39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337185</xdr:colOff>
      <xdr:row>5</xdr:row>
      <xdr:rowOff>64498</xdr:rowOff>
    </xdr:from>
    <xdr:to>
      <xdr:col>9</xdr:col>
      <xdr:colOff>447675</xdr:colOff>
      <xdr:row>7</xdr:row>
      <xdr:rowOff>85725</xdr:rowOff>
    </xdr:to>
    <xdr:sp macro="" textlink="'Estadísticos Principales'!L12">
      <xdr:nvSpPr>
        <xdr:cNvPr id="27" name="Rectángulo 26">
          <a:extLst>
            <a:ext uri="{FF2B5EF4-FFF2-40B4-BE49-F238E27FC236}">
              <a16:creationId xmlns:a16="http://schemas.microsoft.com/office/drawing/2014/main" id="{2EF56B5D-5C87-4514-A7CA-9ADAD5AABD1B}"/>
            </a:ext>
          </a:extLst>
        </xdr:cNvPr>
        <xdr:cNvSpPr/>
      </xdr:nvSpPr>
      <xdr:spPr>
        <a:xfrm>
          <a:off x="6661785" y="969373"/>
          <a:ext cx="901065" cy="383177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09D4A18-7D96-4C0C-90A8-344217C06AB1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0.03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356237</xdr:colOff>
      <xdr:row>8</xdr:row>
      <xdr:rowOff>31840</xdr:rowOff>
    </xdr:from>
    <xdr:to>
      <xdr:col>9</xdr:col>
      <xdr:colOff>466726</xdr:colOff>
      <xdr:row>10</xdr:row>
      <xdr:rowOff>57149</xdr:rowOff>
    </xdr:to>
    <xdr:sp macro="" textlink="'Estadísticos Principales'!L18">
      <xdr:nvSpPr>
        <xdr:cNvPr id="28" name="Rectángulo 27">
          <a:extLst>
            <a:ext uri="{FF2B5EF4-FFF2-40B4-BE49-F238E27FC236}">
              <a16:creationId xmlns:a16="http://schemas.microsoft.com/office/drawing/2014/main" id="{E788C852-341C-4273-A96D-4A7C9F02EF0C}"/>
            </a:ext>
          </a:extLst>
        </xdr:cNvPr>
        <xdr:cNvSpPr/>
      </xdr:nvSpPr>
      <xdr:spPr>
        <a:xfrm>
          <a:off x="6680837" y="1479640"/>
          <a:ext cx="901064" cy="38725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AB7C4A60-225D-48E0-BC99-7667F5A9CD09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0.03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378278</xdr:colOff>
      <xdr:row>8</xdr:row>
      <xdr:rowOff>10885</xdr:rowOff>
    </xdr:from>
    <xdr:to>
      <xdr:col>12</xdr:col>
      <xdr:colOff>704850</xdr:colOff>
      <xdr:row>10</xdr:row>
      <xdr:rowOff>0</xdr:rowOff>
    </xdr:to>
    <xdr:sp macro="" textlink="'Estadísticos Principales'!H18">
      <xdr:nvSpPr>
        <xdr:cNvPr id="29" name="Rectángulo 28">
          <a:extLst>
            <a:ext uri="{FF2B5EF4-FFF2-40B4-BE49-F238E27FC236}">
              <a16:creationId xmlns:a16="http://schemas.microsoft.com/office/drawing/2014/main" id="{8365403A-AEE8-48A6-B7C0-C818A96B470C}"/>
            </a:ext>
          </a:extLst>
        </xdr:cNvPr>
        <xdr:cNvSpPr/>
      </xdr:nvSpPr>
      <xdr:spPr>
        <a:xfrm>
          <a:off x="9074603" y="1458685"/>
          <a:ext cx="1117147" cy="351065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F950A66-BB45-4B9D-A4E7-2F9986E5CE99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81,653.00</a:t>
          </a:fld>
          <a:endParaRPr lang="es-ES" sz="36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386442</xdr:colOff>
      <xdr:row>5</xdr:row>
      <xdr:rowOff>34017</xdr:rowOff>
    </xdr:from>
    <xdr:to>
      <xdr:col>13</xdr:col>
      <xdr:colOff>295275</xdr:colOff>
      <xdr:row>7</xdr:row>
      <xdr:rowOff>57150</xdr:rowOff>
    </xdr:to>
    <xdr:sp macro="" textlink="'Estadísticos Principales'!H12">
      <xdr:nvSpPr>
        <xdr:cNvPr id="30" name="Rectángulo 29">
          <a:extLst>
            <a:ext uri="{FF2B5EF4-FFF2-40B4-BE49-F238E27FC236}">
              <a16:creationId xmlns:a16="http://schemas.microsoft.com/office/drawing/2014/main" id="{29AE5F61-BBCA-4260-81D2-49C2D91E7ECD}"/>
            </a:ext>
          </a:extLst>
        </xdr:cNvPr>
        <xdr:cNvSpPr/>
      </xdr:nvSpPr>
      <xdr:spPr>
        <a:xfrm>
          <a:off x="9082767" y="938892"/>
          <a:ext cx="1489983" cy="385083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C7F41425-809B-44DA-9698-B8953DDEE2C8}" type="TxLink">
            <a:rPr lang="en-US" sz="18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9,976,520.00</a:t>
          </a:fld>
          <a:endParaRPr lang="es-ES" sz="18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378278</xdr:colOff>
      <xdr:row>2</xdr:row>
      <xdr:rowOff>81642</xdr:rowOff>
    </xdr:from>
    <xdr:to>
      <xdr:col>14</xdr:col>
      <xdr:colOff>101786</xdr:colOff>
      <xdr:row>4</xdr:row>
      <xdr:rowOff>98701</xdr:rowOff>
    </xdr:to>
    <xdr:sp macro="" textlink="'Estadísticos Principales'!H6">
      <xdr:nvSpPr>
        <xdr:cNvPr id="31" name="Rectángulo 30">
          <a:extLst>
            <a:ext uri="{FF2B5EF4-FFF2-40B4-BE49-F238E27FC236}">
              <a16:creationId xmlns:a16="http://schemas.microsoft.com/office/drawing/2014/main" id="{B29E57EF-65A6-4255-95CD-B062BAE4F49B}"/>
            </a:ext>
          </a:extLst>
        </xdr:cNvPr>
        <xdr:cNvSpPr/>
      </xdr:nvSpPr>
      <xdr:spPr>
        <a:xfrm>
          <a:off x="9074603" y="443592"/>
          <a:ext cx="2095233" cy="379009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glow rad="127000">
            <a:schemeClr val="accent1"/>
          </a:glow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710AE0-C1CB-4DE1-AB2A-C3427CEB4FA4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350,967,941.48</a:t>
          </a:fld>
          <a:endParaRPr lang="es-ES" sz="36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226151</xdr:colOff>
      <xdr:row>0</xdr:row>
      <xdr:rowOff>42727</xdr:rowOff>
    </xdr:from>
    <xdr:to>
      <xdr:col>11</xdr:col>
      <xdr:colOff>9253</xdr:colOff>
      <xdr:row>2</xdr:row>
      <xdr:rowOff>42727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4FAA557-6265-442E-9677-39926D532764}"/>
            </a:ext>
          </a:extLst>
        </xdr:cNvPr>
        <xdr:cNvSpPr txBox="1"/>
      </xdr:nvSpPr>
      <xdr:spPr>
        <a:xfrm>
          <a:off x="6550751" y="42727"/>
          <a:ext cx="2154827" cy="361950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Promedio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volatílidad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111850</xdr:colOff>
      <xdr:row>0</xdr:row>
      <xdr:rowOff>40005</xdr:rowOff>
    </xdr:from>
    <xdr:to>
      <xdr:col>13</xdr:col>
      <xdr:colOff>685527</xdr:colOff>
      <xdr:row>2</xdr:row>
      <xdr:rowOff>40005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E5654CD3-4318-4858-A487-212C5595DB68}"/>
            </a:ext>
          </a:extLst>
        </xdr:cNvPr>
        <xdr:cNvSpPr txBox="1"/>
      </xdr:nvSpPr>
      <xdr:spPr>
        <a:xfrm>
          <a:off x="8808175" y="40005"/>
          <a:ext cx="2154827" cy="361950"/>
        </a:xfrm>
        <a:prstGeom prst="rect">
          <a:avLst/>
        </a:prstGeom>
        <a:solidFill>
          <a:srgbClr val="FF9D5B"/>
        </a:solidFill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1800" b="1">
              <a:solidFill>
                <a:schemeClr val="bg1"/>
              </a:solidFill>
              <a:latin typeface="+mn-lt"/>
              <a:ea typeface="+mn-ea"/>
              <a:cs typeface="+mn-cs"/>
            </a:rPr>
            <a:t>Máximo</a:t>
          </a:r>
          <a:r>
            <a:rPr lang="es-ES" sz="1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volumen</a:t>
          </a:r>
          <a:endParaRPr lang="es-ES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520581</xdr:colOff>
      <xdr:row>12</xdr:row>
      <xdr:rowOff>102326</xdr:rowOff>
    </xdr:from>
    <xdr:to>
      <xdr:col>17</xdr:col>
      <xdr:colOff>594561</xdr:colOff>
      <xdr:row>15</xdr:row>
      <xdr:rowOff>176306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7CDF6DE7-B4F1-40EA-AFA5-AC49742EA48F}"/>
            </a:ext>
          </a:extLst>
        </xdr:cNvPr>
        <xdr:cNvSpPr txBox="1"/>
      </xdr:nvSpPr>
      <xdr:spPr>
        <a:xfrm>
          <a:off x="8467152" y="2323012"/>
          <a:ext cx="5636580" cy="62915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 b="0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Evolución Volatilidad</a:t>
          </a:r>
        </a:p>
      </xdr:txBody>
    </xdr:sp>
    <xdr:clientData/>
  </xdr:twoCellAnchor>
  <xdr:twoCellAnchor>
    <xdr:from>
      <xdr:col>3</xdr:col>
      <xdr:colOff>625930</xdr:colOff>
      <xdr:row>2</xdr:row>
      <xdr:rowOff>75112</xdr:rowOff>
    </xdr:from>
    <xdr:to>
      <xdr:col>5</xdr:col>
      <xdr:colOff>250372</xdr:colOff>
      <xdr:row>4</xdr:row>
      <xdr:rowOff>130629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EBA5AE-A6E2-4132-AD9D-4C81E55DE264}"/>
            </a:ext>
          </a:extLst>
        </xdr:cNvPr>
        <xdr:cNvSpPr txBox="1"/>
      </xdr:nvSpPr>
      <xdr:spPr>
        <a:xfrm>
          <a:off x="3009901" y="445226"/>
          <a:ext cx="1213757" cy="425632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BTC</a:t>
          </a:r>
        </a:p>
      </xdr:txBody>
    </xdr:sp>
    <xdr:clientData/>
  </xdr:twoCellAnchor>
  <xdr:twoCellAnchor>
    <xdr:from>
      <xdr:col>3</xdr:col>
      <xdr:colOff>658587</xdr:colOff>
      <xdr:row>8</xdr:row>
      <xdr:rowOff>20683</xdr:rowOff>
    </xdr:from>
    <xdr:to>
      <xdr:col>5</xdr:col>
      <xdr:colOff>283029</xdr:colOff>
      <xdr:row>10</xdr:row>
      <xdr:rowOff>97972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C7AC2F4A-615D-4FBD-AA13-8659E783481A}"/>
            </a:ext>
          </a:extLst>
        </xdr:cNvPr>
        <xdr:cNvSpPr txBox="1"/>
      </xdr:nvSpPr>
      <xdr:spPr>
        <a:xfrm>
          <a:off x="3042558" y="1501140"/>
          <a:ext cx="1213757" cy="447403"/>
        </a:xfrm>
        <a:prstGeom prst="rect">
          <a:avLst/>
        </a:prstGeom>
        <a:noFill/>
        <a:ln w="76200"/>
        <a:effectLst>
          <a:softEdge rad="12700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S" sz="2800" b="1">
              <a:solidFill>
                <a:schemeClr val="bg1"/>
              </a:solidFill>
              <a:latin typeface="+mn-lt"/>
              <a:ea typeface="+mn-ea"/>
              <a:cs typeface="+mn-cs"/>
            </a:rPr>
            <a:t>ORO</a:t>
          </a:r>
        </a:p>
        <a:p>
          <a:pPr marL="0" indent="0" algn="ctr"/>
          <a:endParaRPr lang="es-ES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207590</xdr:colOff>
      <xdr:row>17</xdr:row>
      <xdr:rowOff>54358</xdr:rowOff>
    </xdr:from>
    <xdr:to>
      <xdr:col>9</xdr:col>
      <xdr:colOff>523875</xdr:colOff>
      <xdr:row>41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21452-452F-4F24-AF92-2C0E30227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190500</xdr:colOff>
      <xdr:row>0</xdr:row>
      <xdr:rowOff>57150</xdr:rowOff>
    </xdr:from>
    <xdr:to>
      <xdr:col>16</xdr:col>
      <xdr:colOff>34290</xdr:colOff>
      <xdr:row>11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7" name="Meses (date) 1">
              <a:extLst>
                <a:ext uri="{FF2B5EF4-FFF2-40B4-BE49-F238E27FC236}">
                  <a16:creationId xmlns:a16="http://schemas.microsoft.com/office/drawing/2014/main" id="{3865374C-8008-4CD0-AA8E-DC3E5CE4F1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e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58550" y="57150"/>
              <a:ext cx="1424940" cy="198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85725</xdr:colOff>
      <xdr:row>0</xdr:row>
      <xdr:rowOff>47625</xdr:rowOff>
    </xdr:from>
    <xdr:to>
      <xdr:col>17</xdr:col>
      <xdr:colOff>681990</xdr:colOff>
      <xdr:row>11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Años (date) 1">
              <a:extLst>
                <a:ext uri="{FF2B5EF4-FFF2-40B4-BE49-F238E27FC236}">
                  <a16:creationId xmlns:a16="http://schemas.microsoft.com/office/drawing/2014/main" id="{21405FC4-48E8-40EC-8CA1-43BA51B46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date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34925" y="47625"/>
              <a:ext cx="1386840" cy="199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microsoft.com/office/2007/relationships/slicer" Target="../slicers/slicer1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bin"/><Relationship Id="rId3" Type="http://schemas.openxmlformats.org/officeDocument/2006/relationships/pivotTable" Target="../pivotTables/pivotTable5.bin"/><Relationship Id="rId7" Type="http://schemas.openxmlformats.org/officeDocument/2006/relationships/pivotTable" Target="../pivotTables/pivotTable9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Relationship Id="rId6" Type="http://schemas.openxmlformats.org/officeDocument/2006/relationships/pivotTable" Target="../pivotTables/pivotTable8.bin"/><Relationship Id="rId5" Type="http://schemas.openxmlformats.org/officeDocument/2006/relationships/pivotTable" Target="../pivotTables/pivotTable7.bin"/><Relationship Id="rId10" Type="http://schemas.openxmlformats.org/officeDocument/2006/relationships/pivotTable" Target="../pivotTables/pivotTable12.bin"/><Relationship Id="rId4" Type="http://schemas.openxmlformats.org/officeDocument/2006/relationships/pivotTable" Target="../pivotTables/pivotTable6.bin"/><Relationship Id="rId9" Type="http://schemas.openxmlformats.org/officeDocument/2006/relationships/pivotTable" Target="../pivotTables/pivotTable1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microsoft.com/office/2007/relationships/slicer" Target="../slicers/slicer2.bin"/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8C1686-20A8-4E74-AFF8-51C1E499CD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merge</vt:lpstr>
      <vt:lpstr>Tablás dinámicas</vt:lpstr>
      <vt:lpstr>Estadísticos Principales</vt:lpstr>
      <vt:lpstr>Proceso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 Moro</dc:creator>
  <cp:lastModifiedBy>Sergi Moro</cp:lastModifiedBy>
  <dcterms:created xsi:type="dcterms:W3CDTF">2025-09-27T17:36:36Z</dcterms:created>
  <dcterms:modified xsi:type="dcterms:W3CDTF">2025-09-28T18:18:00Z</dcterms:modified>
</cp:coreProperties>
</file>